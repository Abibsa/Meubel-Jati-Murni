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"/>
    </mc:Choice>
  </mc:AlternateContent>
  <xr:revisionPtr revIDLastSave="0" documentId="8_{BD336AD1-1FDE-44B4-9F10-67E3190BA422}" xr6:coauthVersionLast="47" xr6:coauthVersionMax="47" xr10:uidLastSave="{00000000-0000-0000-0000-000000000000}"/>
  <bookViews>
    <workbookView xWindow="-120" yWindow="-120" windowWidth="29040" windowHeight="15840" xr2:uid="{886E701E-DE78-4BCD-A800-762DF94EE43C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L18" i="1"/>
  <c r="L17" i="1"/>
  <c r="L8" i="1"/>
  <c r="L9" i="1"/>
  <c r="L10" i="1"/>
  <c r="L11" i="1"/>
  <c r="L12" i="1"/>
  <c r="L13" i="1"/>
  <c r="L14" i="1"/>
  <c r="L15" i="1"/>
  <c r="L16" i="1"/>
  <c r="L7" i="1"/>
  <c r="K8" i="1"/>
  <c r="K9" i="1"/>
  <c r="K10" i="1"/>
  <c r="K11" i="1"/>
  <c r="K12" i="1"/>
  <c r="K13" i="1"/>
  <c r="K14" i="1"/>
  <c r="K15" i="1"/>
  <c r="K16" i="1"/>
  <c r="K7" i="1"/>
  <c r="J7" i="1"/>
  <c r="J8" i="1"/>
  <c r="J9" i="1"/>
  <c r="J10" i="1"/>
  <c r="J11" i="1"/>
  <c r="J12" i="1"/>
  <c r="J13" i="1"/>
  <c r="J14" i="1"/>
  <c r="J15" i="1"/>
  <c r="J16" i="1"/>
  <c r="I7" i="1"/>
  <c r="I8" i="1"/>
  <c r="I9" i="1"/>
  <c r="I10" i="1"/>
  <c r="I11" i="1"/>
  <c r="I12" i="1"/>
  <c r="I13" i="1"/>
  <c r="I14" i="1"/>
  <c r="I15" i="1"/>
  <c r="I16" i="1"/>
  <c r="H16" i="1"/>
  <c r="H8" i="1"/>
  <c r="H9" i="1"/>
  <c r="H10" i="1"/>
  <c r="H11" i="1"/>
  <c r="H12" i="1"/>
  <c r="H13" i="1"/>
  <c r="H14" i="1"/>
  <c r="H15" i="1"/>
  <c r="H7" i="1"/>
  <c r="G7" i="1"/>
  <c r="G16" i="1"/>
  <c r="G8" i="1"/>
  <c r="G9" i="1"/>
  <c r="G10" i="1"/>
  <c r="G11" i="1"/>
  <c r="G12" i="1"/>
  <c r="G13" i="1"/>
  <c r="G14" i="1"/>
  <c r="G15" i="1"/>
  <c r="F8" i="1"/>
  <c r="F9" i="1"/>
  <c r="F10" i="1"/>
  <c r="F11" i="1"/>
  <c r="F12" i="1"/>
  <c r="F13" i="1"/>
  <c r="F14" i="1"/>
  <c r="F15" i="1"/>
  <c r="F16" i="1"/>
  <c r="F7" i="1"/>
  <c r="E8" i="1"/>
  <c r="E9" i="1"/>
  <c r="E10" i="1"/>
  <c r="E11" i="1"/>
  <c r="E12" i="1"/>
  <c r="E13" i="1"/>
  <c r="E14" i="1"/>
  <c r="E15" i="1"/>
  <c r="E16" i="1"/>
  <c r="E7" i="1"/>
</calcChain>
</file>

<file path=xl/sharedStrings.xml><?xml version="1.0" encoding="utf-8"?>
<sst xmlns="http://schemas.openxmlformats.org/spreadsheetml/2006/main" count="92" uniqueCount="82">
  <si>
    <t>DAFTAR PEMBELIAN TIKER PESAWAT</t>
  </si>
  <si>
    <t>TGL. KEBERANGKATAN</t>
  </si>
  <si>
    <t>NO.</t>
  </si>
  <si>
    <t>KODE TIKET</t>
  </si>
  <si>
    <t>NAMA PENUMPANG</t>
  </si>
  <si>
    <t>TUJUAN</t>
  </si>
  <si>
    <t>HARGA</t>
  </si>
  <si>
    <t>KELAS</t>
  </si>
  <si>
    <t>MENU</t>
  </si>
  <si>
    <t>HARGA MENU</t>
  </si>
  <si>
    <t>DISKON</t>
  </si>
  <si>
    <t>HARGA JUAL</t>
  </si>
  <si>
    <t>Ahmad Kurniawan</t>
  </si>
  <si>
    <t>Septi Setiawati</t>
  </si>
  <si>
    <t>Budi Handoko</t>
  </si>
  <si>
    <t>Rahman Sucipto</t>
  </si>
  <si>
    <t>Abdul Kadir</t>
  </si>
  <si>
    <t>Zulfikar</t>
  </si>
  <si>
    <t>Muhammad Akmal</t>
  </si>
  <si>
    <t>Ridwan Budiman</t>
  </si>
  <si>
    <t>Siti Aisyah</t>
  </si>
  <si>
    <t>Asep Suyono</t>
  </si>
  <si>
    <t>TOTAL PEMBELIAN</t>
  </si>
  <si>
    <t>JUMLAH PEMBELIAN KELAS VIP</t>
  </si>
  <si>
    <t>Tabel Menu Makanan</t>
  </si>
  <si>
    <t>KODE</t>
  </si>
  <si>
    <t>P1</t>
  </si>
  <si>
    <t>P2</t>
  </si>
  <si>
    <t>P3</t>
  </si>
  <si>
    <t>Paket A</t>
  </si>
  <si>
    <t>Paket B</t>
  </si>
  <si>
    <t>Paket C</t>
  </si>
  <si>
    <t>Tabel Tujuan</t>
  </si>
  <si>
    <t>AAA</t>
  </si>
  <si>
    <t>BBB</t>
  </si>
  <si>
    <t>CCC</t>
  </si>
  <si>
    <t>DDD</t>
  </si>
  <si>
    <t>Jakarta-Medan</t>
  </si>
  <si>
    <t>Semarang-Palembang</t>
  </si>
  <si>
    <t>Jakarta-Denpasar</t>
  </si>
  <si>
    <t>Solo-Pontianak</t>
  </si>
  <si>
    <t>Tabel kelas</t>
  </si>
  <si>
    <t>X</t>
  </si>
  <si>
    <t>Y</t>
  </si>
  <si>
    <t>Z</t>
  </si>
  <si>
    <t>VIP</t>
  </si>
  <si>
    <t>Bisnis</t>
  </si>
  <si>
    <t>Ekonomi</t>
  </si>
  <si>
    <t>Keterangan Rumus</t>
  </si>
  <si>
    <t>Tanggal Keberangkatan</t>
  </si>
  <si>
    <t>Tujuan</t>
  </si>
  <si>
    <t>Harga</t>
  </si>
  <si>
    <t>Kelas</t>
  </si>
  <si>
    <t>Menu</t>
  </si>
  <si>
    <t>Harga Menu</t>
  </si>
  <si>
    <t>Diskon</t>
  </si>
  <si>
    <t>Harga Jual</t>
  </si>
  <si>
    <t>Total Pembelian</t>
  </si>
  <si>
    <t>Jumlah Pembelian Kelas VIP</t>
  </si>
  <si>
    <t>: Tanggal hari ini</t>
  </si>
  <si>
    <t>: Diambi dari kolom Tujuan pada Tabel Tujuan berdasarkan 3 karakter pertama pada Kode Tiket</t>
  </si>
  <si>
    <t>: Diambil dari kolom Harga pada Tabel Tujuan berdasarkan 3 karakter pertama pada Kode Tiket</t>
  </si>
  <si>
    <t>: Diambil dari kolom Menu pada Tabel Menu Makanan berdasarkan karakter keenam dan ketujuh pada Kode Tiket</t>
  </si>
  <si>
    <t>: Diambil dari kolom Kelas pada Tabel Kelas berdasarkan karakter keempat pada Kode Tiket</t>
  </si>
  <si>
    <t xml:space="preserve">: Diambil dari kolom Diskon pada Tabel Kelas berdasarkan karakter keempat pada Kode Tiket </t>
  </si>
  <si>
    <t>: Diambil dari Harga + Harga Menu - Diskon</t>
  </si>
  <si>
    <t>: Total keseluruhan dari Harga Jual</t>
  </si>
  <si>
    <t>: Jumlah pembelian tiket kelas VIP</t>
  </si>
  <si>
    <t>Keterangan Warna</t>
  </si>
  <si>
    <t>: Tahap I</t>
  </si>
  <si>
    <t>: Tahap III</t>
  </si>
  <si>
    <t>TGL. PEMBELIAN</t>
  </si>
  <si>
    <t>BBBY-P1-035</t>
  </si>
  <si>
    <t>DDDZ-P3-036</t>
  </si>
  <si>
    <t>AAAZ-P3-037</t>
  </si>
  <si>
    <t>AAAY-P2-038</t>
  </si>
  <si>
    <t>BBBX-P1-039</t>
  </si>
  <si>
    <t>BBBX-P2-040</t>
  </si>
  <si>
    <t>DDDY-P1-041</t>
  </si>
  <si>
    <t>DDDY-P3-042</t>
  </si>
  <si>
    <t>CCCX-P1-043</t>
  </si>
  <si>
    <t>CCCX-P3-044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</si>
</sst>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5" xfId="0" applyFont="1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3" xfId="0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4" xfId="0" applyBorder="1" applyAlignment="1">
      <alignment horizontal="center"/>
    </xf>
    <xf numFmtId="0" fontId="0" fillId="4" borderId="4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9" xfId="0" applyFill="1" applyBorder="1"/>
    <xf numFmtId="0" fontId="0" fillId="5" borderId="4" xfId="0" applyFill="1" applyBorder="1"/>
    <xf numFmtId="0" fontId="0" fillId="0" borderId="4" xfId="0" applyBorder="1" applyAlignment="1">
      <alignment horizontal="left" vertical="top"/>
    </xf>
    <xf numFmtId="0" fontId="0" fillId="4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/>
    </xf>
    <xf numFmtId="3" fontId="0" fillId="0" borderId="4" xfId="0" applyNumberFormat="1" applyBorder="1" applyAlignment="1">
      <alignment horizontal="right" vertical="top"/>
    </xf>
    <xf numFmtId="0" fontId="0" fillId="6" borderId="0" xfId="0" applyFill="1"/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6" borderId="0" xfId="0" applyFont="1" applyFill="1" applyAlignment="1">
      <alignment horizontal="left" vertical="top"/>
    </xf>
    <xf numFmtId="9" fontId="0" fillId="0" borderId="4" xfId="0" applyNumberFormat="1" applyBorder="1" applyAlignment="1">
      <alignment horizontal="center"/>
    </xf>
    <xf numFmtId="0" fontId="0" fillId="3" borderId="4" xfId="0" applyFill="1" applyBorder="1"/>
    <xf numFmtId="0" fontId="0" fillId="3" borderId="10" xfId="0" applyFill="1" applyBorder="1"/>
    <xf numFmtId="0" fontId="0" fillId="3" borderId="11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4" borderId="12" xfId="0" applyFill="1" applyBorder="1"/>
    <xf numFmtId="0" fontId="0" fillId="4" borderId="1" xfId="0" applyFill="1" applyBorder="1"/>
    <xf numFmtId="0" fontId="0" fillId="3" borderId="12" xfId="0" applyFill="1" applyBorder="1"/>
    <xf numFmtId="0" fontId="1" fillId="6" borderId="0" xfId="0" applyFont="1" applyFill="1"/>
    <xf numFmtId="0" fontId="1" fillId="3" borderId="0" xfId="0" applyFont="1" applyFill="1"/>
    <xf numFmtId="0" fontId="0" fillId="4" borderId="0" xfId="0" applyFill="1"/>
    <xf numFmtId="0" fontId="0" fillId="7" borderId="0" xfId="0" applyFill="1"/>
    <xf numFmtId="14" fontId="0" fillId="0" borderId="4" xfId="0" applyNumberFormat="1" applyBorder="1" applyAlignment="1">
      <alignment horizontal="center"/>
    </xf>
    <xf numFmtId="42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/>
    </xf>
    <xf numFmtId="3" fontId="0" fillId="5" borderId="4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C34F1-A5BA-4C64-B095-24AA918B1534}">
  <dimension ref="A1:M45"/>
  <sheetViews>
    <sheetView tabSelected="1" workbookViewId="0">
      <selection activeCell="D5" sqref="D5"/>
    </sheetView>
  </sheetViews>
  <sheetFormatPr defaultRowHeight="15" x14ac:dyDescent="0.25"/>
  <cols>
    <col min="1" max="1" width="3.140625" customWidth="1"/>
    <col min="2" max="2" width="7" customWidth="1"/>
    <col min="3" max="3" width="20.85546875" customWidth="1"/>
    <col min="4" max="4" width="21" customWidth="1"/>
    <col min="5" max="5" width="19.42578125" customWidth="1"/>
    <col min="6" max="6" width="34" bestFit="1" customWidth="1"/>
    <col min="7" max="7" width="13.5703125" customWidth="1"/>
    <col min="8" max="8" width="10.140625" customWidth="1"/>
    <col min="9" max="9" width="10.42578125" customWidth="1"/>
    <col min="10" max="10" width="16.5703125" customWidth="1"/>
    <col min="12" max="12" width="12.85546875" customWidth="1"/>
    <col min="13" max="13" width="11.140625" customWidth="1"/>
  </cols>
  <sheetData>
    <row r="1" spans="1:13" ht="15.75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5.75" thickBot="1" x14ac:dyDescent="0.3">
      <c r="A2" s="17"/>
      <c r="B2" s="2"/>
      <c r="C2" s="3"/>
      <c r="D2" s="3"/>
      <c r="E2" s="3"/>
      <c r="F2" s="5" t="s">
        <v>0</v>
      </c>
      <c r="G2" s="1"/>
      <c r="H2" s="1"/>
      <c r="I2" s="6"/>
      <c r="J2" s="3"/>
      <c r="K2" s="3"/>
      <c r="L2" s="4"/>
      <c r="M2" s="17"/>
    </row>
    <row r="3" spans="1:13" x14ac:dyDescent="0.25">
      <c r="A3" s="17"/>
      <c r="M3" s="17"/>
    </row>
    <row r="4" spans="1:13" x14ac:dyDescent="0.25">
      <c r="A4" s="17"/>
      <c r="B4" t="s">
        <v>1</v>
      </c>
      <c r="D4" s="39">
        <f ca="1">TODAY()</f>
        <v>45219</v>
      </c>
      <c r="M4" s="17"/>
    </row>
    <row r="5" spans="1:13" x14ac:dyDescent="0.25">
      <c r="A5" s="17"/>
      <c r="M5" s="17"/>
    </row>
    <row r="6" spans="1:13" ht="28.5" customHeight="1" x14ac:dyDescent="0.25">
      <c r="A6" s="17"/>
      <c r="B6" s="14" t="s">
        <v>2</v>
      </c>
      <c r="C6" s="14" t="s">
        <v>3</v>
      </c>
      <c r="D6" s="14" t="s">
        <v>4</v>
      </c>
      <c r="E6" s="14" t="s">
        <v>71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7"/>
    </row>
    <row r="7" spans="1:13" x14ac:dyDescent="0.25">
      <c r="A7" s="17"/>
      <c r="B7" s="7">
        <v>1</v>
      </c>
      <c r="C7" s="7" t="s">
        <v>72</v>
      </c>
      <c r="D7" s="7" t="s">
        <v>12</v>
      </c>
      <c r="E7" s="35">
        <f ca="1">TODAY()</f>
        <v>45219</v>
      </c>
      <c r="F7" s="7" t="str">
        <f>VLOOKUP(LEFT(C7,3),$B$27:$D$30,2,FALSE)</f>
        <v>Semarang-Palembang</v>
      </c>
      <c r="G7" s="7">
        <f>VLOOKUP(LEFT(C7,3),$B$27:$D$30,3,FALSE)</f>
        <v>700000</v>
      </c>
      <c r="H7" s="7" t="str">
        <f>VLOOKUP(MID(C7,4,1),$G$27:$I$29,2,FALSE)</f>
        <v>Bisnis</v>
      </c>
      <c r="I7" s="7" t="str">
        <f>HLOOKUP(MID(C7,6,2),$C$21:$E$23,2,FALSE)</f>
        <v>Paket A</v>
      </c>
      <c r="J7" s="7">
        <f>HLOOKUP(MID(C7,6,2),$C$21:$E$23,3,FALSE)</f>
        <v>25000</v>
      </c>
      <c r="K7" s="37">
        <f>VLOOKUP(MID(C7,4,1),$G$27:$I$29,3,FALSE)*G7</f>
        <v>105000</v>
      </c>
      <c r="L7" s="37">
        <f>G7+J7-K7</f>
        <v>620000</v>
      </c>
      <c r="M7" s="17"/>
    </row>
    <row r="8" spans="1:13" x14ac:dyDescent="0.25">
      <c r="A8" s="17"/>
      <c r="B8" s="7">
        <v>2</v>
      </c>
      <c r="C8" s="7" t="s">
        <v>73</v>
      </c>
      <c r="D8" s="7" t="s">
        <v>13</v>
      </c>
      <c r="E8" s="35">
        <f t="shared" ref="E8:E16" ca="1" si="0">TODAY()</f>
        <v>45219</v>
      </c>
      <c r="F8" s="7" t="str">
        <f t="shared" ref="F8:F16" si="1">VLOOKUP(LEFT(C8,3),$B$27:$D$30,2,FALSE)</f>
        <v>Solo-Pontianak</v>
      </c>
      <c r="G8" s="7">
        <f t="shared" ref="G8:G15" si="2">VLOOKUP(LEFT(C8,3),$B$27:$D$30,3,FALSE)</f>
        <v>630000</v>
      </c>
      <c r="H8" s="7" t="str">
        <f t="shared" ref="H8:H15" si="3">VLOOKUP(MID(C8,4,1),$G$27:$I$29,2,FALSE)</f>
        <v>Ekonomi</v>
      </c>
      <c r="I8" s="7" t="str">
        <f t="shared" ref="I8:I16" si="4">HLOOKUP(MID(C8,6,2),$C$21:$E$23,2,FALSE)</f>
        <v>Paket C</v>
      </c>
      <c r="J8" s="7">
        <f t="shared" ref="J8:J16" si="5">HLOOKUP(MID(C8,6,2),$C$21:$E$23,3,FALSE)</f>
        <v>50000</v>
      </c>
      <c r="K8" s="37">
        <f t="shared" ref="K8:K16" si="6">VLOOKUP(MID(C8,4,1),$G$27:$I$29,3,FALSE)*G8</f>
        <v>63000</v>
      </c>
      <c r="L8" s="37">
        <f t="shared" ref="L8:L16" si="7">G8+J8-K8</f>
        <v>617000</v>
      </c>
      <c r="M8" s="17"/>
    </row>
    <row r="9" spans="1:13" x14ac:dyDescent="0.25">
      <c r="A9" s="17"/>
      <c r="B9" s="7">
        <v>3</v>
      </c>
      <c r="C9" s="7" t="s">
        <v>74</v>
      </c>
      <c r="D9" s="7" t="s">
        <v>14</v>
      </c>
      <c r="E9" s="35">
        <f t="shared" ca="1" si="0"/>
        <v>45219</v>
      </c>
      <c r="F9" s="7" t="str">
        <f t="shared" si="1"/>
        <v>Jakarta-Medan</v>
      </c>
      <c r="G9" s="7">
        <f t="shared" si="2"/>
        <v>750000</v>
      </c>
      <c r="H9" s="7" t="str">
        <f t="shared" si="3"/>
        <v>Ekonomi</v>
      </c>
      <c r="I9" s="7" t="str">
        <f t="shared" si="4"/>
        <v>Paket C</v>
      </c>
      <c r="J9" s="7">
        <f t="shared" si="5"/>
        <v>50000</v>
      </c>
      <c r="K9" s="37">
        <f t="shared" si="6"/>
        <v>75000</v>
      </c>
      <c r="L9" s="37">
        <f t="shared" si="7"/>
        <v>725000</v>
      </c>
      <c r="M9" s="17"/>
    </row>
    <row r="10" spans="1:13" x14ac:dyDescent="0.25">
      <c r="A10" s="17"/>
      <c r="B10" s="7">
        <v>4</v>
      </c>
      <c r="C10" s="7" t="s">
        <v>75</v>
      </c>
      <c r="D10" s="7" t="s">
        <v>15</v>
      </c>
      <c r="E10" s="35">
        <f t="shared" ca="1" si="0"/>
        <v>45219</v>
      </c>
      <c r="F10" s="7" t="str">
        <f t="shared" si="1"/>
        <v>Jakarta-Medan</v>
      </c>
      <c r="G10" s="7">
        <f t="shared" si="2"/>
        <v>750000</v>
      </c>
      <c r="H10" s="7" t="str">
        <f t="shared" si="3"/>
        <v>Bisnis</v>
      </c>
      <c r="I10" s="7" t="str">
        <f t="shared" si="4"/>
        <v>Paket B</v>
      </c>
      <c r="J10" s="7">
        <f t="shared" si="5"/>
        <v>37500</v>
      </c>
      <c r="K10" s="37">
        <f t="shared" si="6"/>
        <v>112500</v>
      </c>
      <c r="L10" s="37">
        <f t="shared" si="7"/>
        <v>675000</v>
      </c>
      <c r="M10" s="17"/>
    </row>
    <row r="11" spans="1:13" x14ac:dyDescent="0.25">
      <c r="A11" s="17"/>
      <c r="B11" s="7">
        <v>5</v>
      </c>
      <c r="C11" s="7" t="s">
        <v>76</v>
      </c>
      <c r="D11" s="7" t="s">
        <v>16</v>
      </c>
      <c r="E11" s="35">
        <f t="shared" ca="1" si="0"/>
        <v>45219</v>
      </c>
      <c r="F11" s="7" t="str">
        <f t="shared" si="1"/>
        <v>Semarang-Palembang</v>
      </c>
      <c r="G11" s="7">
        <f t="shared" si="2"/>
        <v>700000</v>
      </c>
      <c r="H11" s="7" t="str">
        <f t="shared" si="3"/>
        <v>VIP</v>
      </c>
      <c r="I11" s="7" t="str">
        <f t="shared" si="4"/>
        <v>Paket A</v>
      </c>
      <c r="J11" s="7">
        <f t="shared" si="5"/>
        <v>25000</v>
      </c>
      <c r="K11" s="37">
        <f t="shared" si="6"/>
        <v>140000</v>
      </c>
      <c r="L11" s="37">
        <f t="shared" si="7"/>
        <v>585000</v>
      </c>
      <c r="M11" s="17"/>
    </row>
    <row r="12" spans="1:13" x14ac:dyDescent="0.25">
      <c r="A12" s="17"/>
      <c r="B12" s="7">
        <v>6</v>
      </c>
      <c r="C12" s="7" t="s">
        <v>77</v>
      </c>
      <c r="D12" s="7" t="s">
        <v>17</v>
      </c>
      <c r="E12" s="35">
        <f t="shared" ca="1" si="0"/>
        <v>45219</v>
      </c>
      <c r="F12" s="7" t="str">
        <f t="shared" si="1"/>
        <v>Semarang-Palembang</v>
      </c>
      <c r="G12" s="7">
        <f t="shared" si="2"/>
        <v>700000</v>
      </c>
      <c r="H12" s="7" t="str">
        <f t="shared" si="3"/>
        <v>VIP</v>
      </c>
      <c r="I12" s="7" t="str">
        <f t="shared" si="4"/>
        <v>Paket B</v>
      </c>
      <c r="J12" s="7">
        <f t="shared" si="5"/>
        <v>37500</v>
      </c>
      <c r="K12" s="37">
        <f t="shared" si="6"/>
        <v>140000</v>
      </c>
      <c r="L12" s="37">
        <f t="shared" si="7"/>
        <v>597500</v>
      </c>
      <c r="M12" s="17"/>
    </row>
    <row r="13" spans="1:13" x14ac:dyDescent="0.25">
      <c r="A13" s="17"/>
      <c r="B13" s="7">
        <v>7</v>
      </c>
      <c r="C13" s="7" t="s">
        <v>78</v>
      </c>
      <c r="D13" s="7" t="s">
        <v>18</v>
      </c>
      <c r="E13" s="35">
        <f t="shared" ca="1" si="0"/>
        <v>45219</v>
      </c>
      <c r="F13" s="7" t="str">
        <f t="shared" si="1"/>
        <v>Solo-Pontianak</v>
      </c>
      <c r="G13" s="7">
        <f t="shared" si="2"/>
        <v>630000</v>
      </c>
      <c r="H13" s="7" t="str">
        <f t="shared" si="3"/>
        <v>Bisnis</v>
      </c>
      <c r="I13" s="7" t="str">
        <f t="shared" si="4"/>
        <v>Paket A</v>
      </c>
      <c r="J13" s="7">
        <f t="shared" si="5"/>
        <v>25000</v>
      </c>
      <c r="K13" s="37">
        <f t="shared" si="6"/>
        <v>94500</v>
      </c>
      <c r="L13" s="37">
        <f t="shared" si="7"/>
        <v>560500</v>
      </c>
      <c r="M13" s="17"/>
    </row>
    <row r="14" spans="1:13" x14ac:dyDescent="0.25">
      <c r="A14" s="17"/>
      <c r="B14" s="7">
        <v>8</v>
      </c>
      <c r="C14" s="7" t="s">
        <v>79</v>
      </c>
      <c r="D14" s="7" t="s">
        <v>19</v>
      </c>
      <c r="E14" s="35">
        <f t="shared" ca="1" si="0"/>
        <v>45219</v>
      </c>
      <c r="F14" s="7" t="str">
        <f t="shared" si="1"/>
        <v>Solo-Pontianak</v>
      </c>
      <c r="G14" s="7">
        <f t="shared" si="2"/>
        <v>630000</v>
      </c>
      <c r="H14" s="7" t="str">
        <f t="shared" si="3"/>
        <v>Bisnis</v>
      </c>
      <c r="I14" s="7" t="str">
        <f t="shared" si="4"/>
        <v>Paket C</v>
      </c>
      <c r="J14" s="7">
        <f t="shared" si="5"/>
        <v>50000</v>
      </c>
      <c r="K14" s="37">
        <f t="shared" si="6"/>
        <v>94500</v>
      </c>
      <c r="L14" s="37">
        <f t="shared" si="7"/>
        <v>585500</v>
      </c>
      <c r="M14" s="17"/>
    </row>
    <row r="15" spans="1:13" x14ac:dyDescent="0.25">
      <c r="A15" s="17"/>
      <c r="B15" s="7">
        <v>9</v>
      </c>
      <c r="C15" s="7" t="s">
        <v>80</v>
      </c>
      <c r="D15" s="7" t="s">
        <v>20</v>
      </c>
      <c r="E15" s="35">
        <f t="shared" ca="1" si="0"/>
        <v>45219</v>
      </c>
      <c r="F15" s="7" t="str">
        <f t="shared" si="1"/>
        <v>Jakarta-Denpasar</v>
      </c>
      <c r="G15" s="7">
        <f t="shared" si="2"/>
        <v>650000</v>
      </c>
      <c r="H15" s="7" t="str">
        <f t="shared" si="3"/>
        <v>VIP</v>
      </c>
      <c r="I15" s="7" t="str">
        <f t="shared" si="4"/>
        <v>Paket A</v>
      </c>
      <c r="J15" s="7">
        <f t="shared" si="5"/>
        <v>25000</v>
      </c>
      <c r="K15" s="37">
        <f t="shared" si="6"/>
        <v>130000</v>
      </c>
      <c r="L15" s="37">
        <f t="shared" si="7"/>
        <v>545000</v>
      </c>
      <c r="M15" s="17"/>
    </row>
    <row r="16" spans="1:13" x14ac:dyDescent="0.25">
      <c r="A16" s="17"/>
      <c r="B16" s="7">
        <v>10</v>
      </c>
      <c r="C16" s="7" t="s">
        <v>81</v>
      </c>
      <c r="D16" s="7" t="s">
        <v>21</v>
      </c>
      <c r="E16" s="35">
        <f t="shared" ca="1" si="0"/>
        <v>45219</v>
      </c>
      <c r="F16" s="7" t="str">
        <f t="shared" si="1"/>
        <v>Jakarta-Denpasar</v>
      </c>
      <c r="G16" s="7">
        <f>VLOOKUP(LEFT(C16,3),$B$27:$D$30,3,FALSE)</f>
        <v>650000</v>
      </c>
      <c r="H16" s="7" t="str">
        <f>VLOOKUP(MID(C16,4,1),$G$27:$I$29,2,FALSE)</f>
        <v>VIP</v>
      </c>
      <c r="I16" s="7" t="str">
        <f t="shared" si="4"/>
        <v>Paket C</v>
      </c>
      <c r="J16" s="7">
        <f t="shared" si="5"/>
        <v>50000</v>
      </c>
      <c r="K16" s="37">
        <f t="shared" si="6"/>
        <v>130000</v>
      </c>
      <c r="L16" s="37">
        <f t="shared" si="7"/>
        <v>570000</v>
      </c>
      <c r="M16" s="17"/>
    </row>
    <row r="17" spans="1:13" x14ac:dyDescent="0.25">
      <c r="A17" s="17"/>
      <c r="B17" s="17"/>
      <c r="C17" s="17"/>
      <c r="D17" s="17"/>
      <c r="E17" s="17"/>
      <c r="F17" s="17"/>
      <c r="G17" s="17"/>
      <c r="H17" s="17"/>
      <c r="I17" s="8" t="s">
        <v>22</v>
      </c>
      <c r="J17" s="9"/>
      <c r="K17" s="10"/>
      <c r="L17" s="38">
        <f>SUM(L7:L16)</f>
        <v>6080500</v>
      </c>
      <c r="M17" s="17"/>
    </row>
    <row r="18" spans="1:13" x14ac:dyDescent="0.25">
      <c r="A18" s="17"/>
      <c r="B18" s="17"/>
      <c r="C18" s="17"/>
      <c r="D18" s="17"/>
      <c r="E18" s="17"/>
      <c r="F18" s="17"/>
      <c r="G18" s="17"/>
      <c r="H18" s="17"/>
      <c r="I18" s="8" t="s">
        <v>23</v>
      </c>
      <c r="J18" s="8"/>
      <c r="K18" s="11"/>
      <c r="L18" s="12">
        <f>COUNTIF(H7:H16,"VIP")</f>
        <v>4</v>
      </c>
      <c r="M18" s="17"/>
    </row>
    <row r="19" spans="1:1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x14ac:dyDescent="0.25">
      <c r="A20" s="17"/>
      <c r="B20" s="31" t="s">
        <v>24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x14ac:dyDescent="0.25">
      <c r="A21" s="17"/>
      <c r="B21" s="15" t="s">
        <v>25</v>
      </c>
      <c r="C21" s="13" t="s">
        <v>26</v>
      </c>
      <c r="D21" s="13" t="s">
        <v>27</v>
      </c>
      <c r="E21" s="13" t="s">
        <v>28</v>
      </c>
      <c r="F21" s="17"/>
      <c r="G21" s="17"/>
      <c r="H21" s="17"/>
      <c r="I21" s="17"/>
      <c r="J21" s="17"/>
      <c r="K21" s="17"/>
      <c r="L21" s="17"/>
      <c r="M21" s="17"/>
    </row>
    <row r="22" spans="1:13" x14ac:dyDescent="0.25">
      <c r="A22" s="17"/>
      <c r="B22" s="15" t="s">
        <v>8</v>
      </c>
      <c r="C22" s="13" t="s">
        <v>29</v>
      </c>
      <c r="D22" s="13" t="s">
        <v>30</v>
      </c>
      <c r="E22" s="13" t="s">
        <v>31</v>
      </c>
      <c r="F22" s="17"/>
      <c r="G22" s="17"/>
      <c r="H22" s="17"/>
      <c r="I22" s="17"/>
      <c r="J22" s="17"/>
      <c r="K22" s="17"/>
      <c r="L22" s="17"/>
      <c r="M22" s="17"/>
    </row>
    <row r="23" spans="1:13" x14ac:dyDescent="0.25">
      <c r="A23" s="17"/>
      <c r="B23" s="15" t="s">
        <v>6</v>
      </c>
      <c r="C23" s="16">
        <v>25000</v>
      </c>
      <c r="D23" s="16">
        <v>37500</v>
      </c>
      <c r="E23" s="16">
        <v>50000</v>
      </c>
      <c r="F23" s="17"/>
      <c r="G23" s="17"/>
      <c r="H23" s="17"/>
      <c r="I23" s="17"/>
      <c r="J23" s="17"/>
      <c r="K23" s="17"/>
      <c r="L23" s="17"/>
      <c r="M23" s="17"/>
    </row>
    <row r="24" spans="1:1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x14ac:dyDescent="0.25">
      <c r="A25" s="17"/>
      <c r="B25" s="20" t="s">
        <v>32</v>
      </c>
      <c r="C25" s="17"/>
      <c r="D25" s="17"/>
      <c r="E25" s="17"/>
      <c r="F25" s="17"/>
      <c r="G25" s="31" t="s">
        <v>41</v>
      </c>
      <c r="H25" s="17"/>
      <c r="I25" s="17"/>
      <c r="J25" s="17"/>
      <c r="K25" s="17"/>
      <c r="L25" s="17"/>
      <c r="M25" s="17"/>
    </row>
    <row r="26" spans="1:13" x14ac:dyDescent="0.25">
      <c r="A26" s="17"/>
      <c r="B26" s="18" t="s">
        <v>25</v>
      </c>
      <c r="C26" s="18" t="s">
        <v>5</v>
      </c>
      <c r="D26" s="18" t="s">
        <v>6</v>
      </c>
      <c r="E26" s="17"/>
      <c r="F26" s="17"/>
      <c r="G26" s="18" t="s">
        <v>25</v>
      </c>
      <c r="H26" s="18" t="s">
        <v>7</v>
      </c>
      <c r="I26" s="18" t="s">
        <v>10</v>
      </c>
      <c r="J26" s="17"/>
      <c r="K26" s="17"/>
      <c r="L26" s="17"/>
      <c r="M26" s="17"/>
    </row>
    <row r="27" spans="1:13" x14ac:dyDescent="0.25">
      <c r="A27" s="17"/>
      <c r="B27" s="19" t="s">
        <v>33</v>
      </c>
      <c r="C27" s="19" t="s">
        <v>37</v>
      </c>
      <c r="D27" s="36">
        <v>750000</v>
      </c>
      <c r="E27" s="17"/>
      <c r="F27" s="17"/>
      <c r="G27" s="7" t="s">
        <v>42</v>
      </c>
      <c r="H27" s="7" t="s">
        <v>45</v>
      </c>
      <c r="I27" s="21">
        <v>0.2</v>
      </c>
      <c r="J27" s="17"/>
      <c r="K27" s="17"/>
      <c r="L27" s="17"/>
      <c r="M27" s="17"/>
    </row>
    <row r="28" spans="1:13" x14ac:dyDescent="0.25">
      <c r="A28" s="17"/>
      <c r="B28" s="19" t="s">
        <v>34</v>
      </c>
      <c r="C28" s="19" t="s">
        <v>38</v>
      </c>
      <c r="D28" s="36">
        <v>700000</v>
      </c>
      <c r="E28" s="17"/>
      <c r="F28" s="17"/>
      <c r="G28" s="7" t="s">
        <v>43</v>
      </c>
      <c r="H28" s="7" t="s">
        <v>46</v>
      </c>
      <c r="I28" s="21">
        <v>0.15</v>
      </c>
      <c r="J28" s="17"/>
      <c r="K28" s="17"/>
      <c r="L28" s="17"/>
      <c r="M28" s="17"/>
    </row>
    <row r="29" spans="1:13" x14ac:dyDescent="0.25">
      <c r="A29" s="17"/>
      <c r="B29" s="19" t="s">
        <v>35</v>
      </c>
      <c r="C29" s="19" t="s">
        <v>39</v>
      </c>
      <c r="D29" s="36">
        <v>650000</v>
      </c>
      <c r="E29" s="17"/>
      <c r="F29" s="17"/>
      <c r="G29" s="7" t="s">
        <v>44</v>
      </c>
      <c r="H29" s="7" t="s">
        <v>47</v>
      </c>
      <c r="I29" s="21">
        <v>0.1</v>
      </c>
      <c r="J29" s="17"/>
      <c r="K29" s="17"/>
      <c r="L29" s="17"/>
      <c r="M29" s="17"/>
    </row>
    <row r="30" spans="1:13" x14ac:dyDescent="0.25">
      <c r="A30" s="17"/>
      <c r="B30" s="19" t="s">
        <v>36</v>
      </c>
      <c r="C30" s="19" t="s">
        <v>40</v>
      </c>
      <c r="D30" s="36">
        <v>630000</v>
      </c>
      <c r="E30" s="17"/>
      <c r="F30" s="17"/>
      <c r="G30" s="17"/>
      <c r="H30" s="17"/>
      <c r="I30" s="17"/>
      <c r="J30" s="17"/>
      <c r="K30" s="17"/>
      <c r="L30" s="17"/>
      <c r="M30" s="17"/>
    </row>
    <row r="31" spans="1:13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x14ac:dyDescent="0.25">
      <c r="A33" s="17"/>
      <c r="B33" s="31" t="s">
        <v>48</v>
      </c>
      <c r="C33" s="17"/>
      <c r="D33" s="17"/>
      <c r="E33" s="17"/>
      <c r="F33" s="17"/>
      <c r="G33" s="17"/>
      <c r="H33" s="17"/>
      <c r="I33" s="17"/>
      <c r="J33" s="17"/>
      <c r="K33" s="17"/>
      <c r="L33" s="31" t="s">
        <v>68</v>
      </c>
      <c r="M33" s="17"/>
    </row>
    <row r="34" spans="1:13" x14ac:dyDescent="0.25">
      <c r="A34" s="17"/>
      <c r="B34" s="22" t="s">
        <v>49</v>
      </c>
      <c r="C34" s="22"/>
      <c r="D34" s="23" t="s">
        <v>59</v>
      </c>
      <c r="E34" s="30"/>
      <c r="F34" s="30"/>
      <c r="G34" s="30"/>
      <c r="H34" s="30"/>
      <c r="I34" s="30"/>
      <c r="J34" s="24"/>
      <c r="K34" s="17"/>
      <c r="L34" s="32"/>
      <c r="M34" s="17" t="s">
        <v>69</v>
      </c>
    </row>
    <row r="35" spans="1:13" x14ac:dyDescent="0.25">
      <c r="A35" s="17"/>
      <c r="B35" s="23" t="s">
        <v>50</v>
      </c>
      <c r="C35" s="24"/>
      <c r="D35" s="23" t="s">
        <v>60</v>
      </c>
      <c r="E35" s="22"/>
      <c r="F35" s="22"/>
      <c r="G35" s="22"/>
      <c r="H35" s="22"/>
      <c r="I35" s="23"/>
      <c r="J35" s="24"/>
      <c r="K35" s="17"/>
      <c r="L35" s="33"/>
      <c r="M35" s="17" t="s">
        <v>70</v>
      </c>
    </row>
    <row r="36" spans="1:13" x14ac:dyDescent="0.25">
      <c r="A36" s="17"/>
      <c r="B36" s="23" t="s">
        <v>51</v>
      </c>
      <c r="C36" s="24"/>
      <c r="D36" s="23" t="s">
        <v>61</v>
      </c>
      <c r="E36" s="30"/>
      <c r="F36" s="30"/>
      <c r="G36" s="30"/>
      <c r="H36" s="30"/>
      <c r="I36" s="30"/>
      <c r="J36" s="24"/>
      <c r="K36" s="17"/>
      <c r="L36" s="34"/>
      <c r="M36" s="17" t="s">
        <v>70</v>
      </c>
    </row>
    <row r="37" spans="1:13" x14ac:dyDescent="0.25">
      <c r="A37" s="17"/>
      <c r="B37" s="23" t="s">
        <v>52</v>
      </c>
      <c r="C37" s="24"/>
      <c r="D37" s="23" t="s">
        <v>63</v>
      </c>
      <c r="E37" s="30"/>
      <c r="F37" s="30"/>
      <c r="G37" s="30"/>
      <c r="H37" s="30"/>
      <c r="I37" s="30"/>
      <c r="J37" s="24"/>
      <c r="K37" s="17"/>
      <c r="L37" s="17"/>
      <c r="M37" s="17"/>
    </row>
    <row r="38" spans="1:13" x14ac:dyDescent="0.25">
      <c r="A38" s="17"/>
      <c r="B38" s="9" t="s">
        <v>53</v>
      </c>
      <c r="C38" s="10"/>
      <c r="D38" s="9" t="s">
        <v>62</v>
      </c>
      <c r="E38" s="28"/>
      <c r="F38" s="28"/>
      <c r="G38" s="28"/>
      <c r="H38" s="28"/>
      <c r="I38" s="10"/>
      <c r="J38" s="8"/>
      <c r="K38" s="17"/>
      <c r="L38" s="17"/>
      <c r="M38" s="17"/>
    </row>
    <row r="39" spans="1:13" x14ac:dyDescent="0.25">
      <c r="A39" s="17"/>
      <c r="B39" s="9" t="s">
        <v>54</v>
      </c>
      <c r="C39" s="10"/>
      <c r="D39" s="9" t="s">
        <v>62</v>
      </c>
      <c r="E39" s="28"/>
      <c r="F39" s="28"/>
      <c r="G39" s="28"/>
      <c r="H39" s="29"/>
      <c r="I39" s="28"/>
      <c r="J39" s="10"/>
      <c r="K39" s="17"/>
      <c r="L39" s="17"/>
      <c r="M39" s="17"/>
    </row>
    <row r="40" spans="1:13" x14ac:dyDescent="0.25">
      <c r="A40" s="17"/>
      <c r="B40" s="9" t="s">
        <v>55</v>
      </c>
      <c r="C40" s="10"/>
      <c r="D40" s="9" t="s">
        <v>64</v>
      </c>
      <c r="E40" s="28"/>
      <c r="F40" s="28"/>
      <c r="G40" s="28"/>
      <c r="H40" s="28"/>
      <c r="I40" s="28"/>
      <c r="J40" s="10"/>
      <c r="K40" s="17"/>
      <c r="L40" s="17"/>
      <c r="M40" s="17"/>
    </row>
    <row r="41" spans="1:13" x14ac:dyDescent="0.25">
      <c r="A41" s="17"/>
      <c r="B41" s="25" t="s">
        <v>56</v>
      </c>
      <c r="C41" s="26"/>
      <c r="D41" s="25" t="s">
        <v>65</v>
      </c>
      <c r="E41" s="27"/>
      <c r="F41" s="27"/>
      <c r="G41" s="27"/>
      <c r="H41" s="27"/>
      <c r="I41" s="27"/>
      <c r="J41" s="26"/>
      <c r="K41" s="17"/>
      <c r="L41" s="17"/>
      <c r="M41" s="17"/>
    </row>
    <row r="42" spans="1:13" x14ac:dyDescent="0.25">
      <c r="A42" s="17"/>
      <c r="B42" s="25" t="s">
        <v>57</v>
      </c>
      <c r="C42" s="26"/>
      <c r="D42" s="25" t="s">
        <v>66</v>
      </c>
      <c r="E42" s="27"/>
      <c r="F42" s="27"/>
      <c r="G42" s="27"/>
      <c r="H42" s="27"/>
      <c r="I42" s="27"/>
      <c r="J42" s="26"/>
      <c r="K42" s="17"/>
      <c r="L42" s="17"/>
      <c r="M42" s="17"/>
    </row>
    <row r="43" spans="1:13" x14ac:dyDescent="0.25">
      <c r="A43" s="17"/>
      <c r="B43" s="25" t="s">
        <v>58</v>
      </c>
      <c r="C43" s="26"/>
      <c r="D43" s="25" t="s">
        <v>67</v>
      </c>
      <c r="E43" s="27"/>
      <c r="F43" s="27"/>
      <c r="G43" s="27"/>
      <c r="H43" s="27"/>
      <c r="I43" s="27"/>
      <c r="J43" s="26"/>
      <c r="K43" s="17"/>
      <c r="L43" s="17"/>
      <c r="M43" s="17"/>
    </row>
    <row r="44" spans="1:13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saintek-R105</dc:creator>
  <cp:lastModifiedBy>saintek-R105</cp:lastModifiedBy>
  <dcterms:created xsi:type="dcterms:W3CDTF">2023-10-20T06:07:21Z</dcterms:created>
  <dcterms:modified xsi:type="dcterms:W3CDTF">2023-10-20T08:15:50Z</dcterms:modified>
</cp:coreProperties>
</file>